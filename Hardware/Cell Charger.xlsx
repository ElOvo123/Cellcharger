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ogoPica\Desktop\"/>
    </mc:Choice>
  </mc:AlternateContent>
  <xr:revisionPtr revIDLastSave="0" documentId="13_ncr:1_{26A5408F-D95F-40D8-9ABD-6D69B7792A81}" xr6:coauthVersionLast="47" xr6:coauthVersionMax="47" xr10:uidLastSave="{00000000-0000-0000-0000-000000000000}"/>
  <bookViews>
    <workbookView xWindow="-30828" yWindow="-2472" windowWidth="30936" windowHeight="16896" activeTab="2" xr2:uid="{D0CC8701-D568-4ACE-B7E0-74BEC69F56AF}"/>
  </bookViews>
  <sheets>
    <sheet name="Main Parameters" sheetId="1" r:id="rId1"/>
    <sheet name="Converter Design" sheetId="2" r:id="rId2"/>
    <sheet name="Discharge Load Calcul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26" i="2"/>
  <c r="C6" i="3"/>
  <c r="C5" i="3"/>
  <c r="C7" i="3"/>
  <c r="C27" i="2"/>
  <c r="C25" i="2"/>
  <c r="C24" i="2"/>
  <c r="C23" i="2"/>
  <c r="C11" i="2"/>
  <c r="C10" i="2"/>
  <c r="C7" i="2"/>
  <c r="C15" i="2"/>
  <c r="C16" i="2" s="1"/>
  <c r="C10" i="3" l="1"/>
  <c r="C11" i="3" s="1"/>
  <c r="C13" i="3" s="1"/>
  <c r="C12" i="3"/>
  <c r="C17" i="2"/>
  <c r="C19" i="2"/>
  <c r="C20" i="2" s="1"/>
  <c r="C18" i="2"/>
</calcChain>
</file>

<file path=xl/sharedStrings.xml><?xml version="1.0" encoding="utf-8"?>
<sst xmlns="http://schemas.openxmlformats.org/spreadsheetml/2006/main" count="127" uniqueCount="100">
  <si>
    <t>Vbus</t>
  </si>
  <si>
    <t>Vcell_max</t>
  </si>
  <si>
    <t>Vcell_min</t>
  </si>
  <si>
    <t>Ichg_max</t>
  </si>
  <si>
    <t>Idchg_max</t>
  </si>
  <si>
    <t>A</t>
  </si>
  <si>
    <t>V</t>
  </si>
  <si>
    <t>Electrical Requirments</t>
  </si>
  <si>
    <t>Input voltage from the power supply</t>
  </si>
  <si>
    <t>Maximum Cell Voltage</t>
  </si>
  <si>
    <t>Minimum Cell Voltage</t>
  </si>
  <si>
    <t>Peak Charging Current</t>
  </si>
  <si>
    <t>Peak Discharg Current</t>
  </si>
  <si>
    <t>ºC</t>
  </si>
  <si>
    <t>Tchg_min</t>
  </si>
  <si>
    <t>Tdchg_max</t>
  </si>
  <si>
    <t>Tchg_max</t>
  </si>
  <si>
    <t>Tdchg_min</t>
  </si>
  <si>
    <t>Temperature Requirments</t>
  </si>
  <si>
    <t>Tamb</t>
  </si>
  <si>
    <t>Ambient Temperature</t>
  </si>
  <si>
    <t>Maximum Discharge Temperature</t>
  </si>
  <si>
    <t>Minimum Discharge Temperature</t>
  </si>
  <si>
    <t>Maximum Charge Temperature</t>
  </si>
  <si>
    <t>Minimum Charge Temperature</t>
  </si>
  <si>
    <t>Duty Cycle</t>
  </si>
  <si>
    <t>Buck_D</t>
  </si>
  <si>
    <t>Boost_D</t>
  </si>
  <si>
    <t>%</t>
  </si>
  <si>
    <t>Converter Values</t>
  </si>
  <si>
    <t>kHz</t>
  </si>
  <si>
    <t>fsw</t>
  </si>
  <si>
    <t>r</t>
  </si>
  <si>
    <t>delta_IL</t>
  </si>
  <si>
    <t>L_chg</t>
  </si>
  <si>
    <t>L_dchg</t>
  </si>
  <si>
    <t>Inductance required for charging to the maximum cell voltage</t>
  </si>
  <si>
    <t>Inductance required for discharging to the minimum cell voltage</t>
  </si>
  <si>
    <t>L</t>
  </si>
  <si>
    <t>uH</t>
  </si>
  <si>
    <t>Isat_1,2</t>
  </si>
  <si>
    <t>Isat</t>
  </si>
  <si>
    <t>Inductor Saturation Current</t>
  </si>
  <si>
    <t>Imax</t>
  </si>
  <si>
    <t>Maximum converter current</t>
  </si>
  <si>
    <t>Buck converter duty cycle at the maximum cell voltage</t>
  </si>
  <si>
    <t>Boost conveter duty cycle at the minimum cell voltage</t>
  </si>
  <si>
    <t>Inductor ripple ratio</t>
  </si>
  <si>
    <t>Switching frequency</t>
  </si>
  <si>
    <t>Buck Boost converter inductance</t>
  </si>
  <si>
    <t>Inductor saturation current with a 20% safety margin</t>
  </si>
  <si>
    <t>y</t>
  </si>
  <si>
    <t>Converter Efficiency</t>
  </si>
  <si>
    <t>Voltage Ripple</t>
  </si>
  <si>
    <t>delta_V</t>
  </si>
  <si>
    <t>delta_V_ESR</t>
  </si>
  <si>
    <t>delta_V_C</t>
  </si>
  <si>
    <t>Voltage ripple because of capacitor capacitance</t>
  </si>
  <si>
    <t>Voltage ripple because of capacitor ESR</t>
  </si>
  <si>
    <t>d</t>
  </si>
  <si>
    <t>C_min_buck</t>
  </si>
  <si>
    <t>C_min_transient</t>
  </si>
  <si>
    <t>Capacitance required for max buck ripple</t>
  </si>
  <si>
    <t>Capacitance required for max transient ripple</t>
  </si>
  <si>
    <t>mC</t>
  </si>
  <si>
    <t>R_ESR_max</t>
  </si>
  <si>
    <t>ohm</t>
  </si>
  <si>
    <t>Maximum ESR for capacitor</t>
  </si>
  <si>
    <t>App</t>
  </si>
  <si>
    <t>Inductor current ripple calculated</t>
  </si>
  <si>
    <t>Inductor  Values</t>
  </si>
  <si>
    <t>Inductor Losses</t>
  </si>
  <si>
    <t>Capacitor Losses</t>
  </si>
  <si>
    <t>R_DCR</t>
  </si>
  <si>
    <t>Inductor DCR</t>
  </si>
  <si>
    <t>P_CU</t>
  </si>
  <si>
    <t>Inductor copper losses</t>
  </si>
  <si>
    <t>V_cell_max</t>
  </si>
  <si>
    <t>Maximum cell voltage</t>
  </si>
  <si>
    <t>V_bus</t>
  </si>
  <si>
    <t>Bus voltage</t>
  </si>
  <si>
    <t>Discharge Load Values</t>
  </si>
  <si>
    <t>P_dis</t>
  </si>
  <si>
    <t>P_bus</t>
  </si>
  <si>
    <t>I_bus</t>
  </si>
  <si>
    <t>W</t>
  </si>
  <si>
    <t>Discharge power at I max</t>
  </si>
  <si>
    <t>Discharge bus power at I max</t>
  </si>
  <si>
    <t>Discharge current at bus voltage</t>
  </si>
  <si>
    <t>R_load</t>
  </si>
  <si>
    <t>Capacitor Values Cell Side</t>
  </si>
  <si>
    <t>Resistance required for discharge</t>
  </si>
  <si>
    <t>Bus side capacitance</t>
  </si>
  <si>
    <t>C_bus</t>
  </si>
  <si>
    <t>ms</t>
  </si>
  <si>
    <t>V_bus_delta</t>
  </si>
  <si>
    <t>Burst voltage max change value</t>
  </si>
  <si>
    <t>Burst time</t>
  </si>
  <si>
    <t>t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</si>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</sst>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0" fillId="4" borderId="0" xfId="0" applyFill="1"/>
    <xf numFmtId="164" fontId="0" fillId="4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68C3A-5B4D-489A-8716-7E7B29858095}">
  <dimension ref="B3:E15"/>
  <sheetViews>
    <sheetView workbookViewId="0">
      <selection activeCell="C9" sqref="C9"/>
    </sheetView>
  </sheetViews>
  <sheetFormatPr defaultRowHeight="15" x14ac:dyDescent="0.25"/>
  <cols>
    <col min="2" max="2" width="10.7109375" customWidth="1"/>
    <col min="5" max="5" width="32.7109375" customWidth="1"/>
  </cols>
  <sheetData>
    <row r="3" spans="2:5" x14ac:dyDescent="0.25">
      <c r="B3" s="5" t="s">
        <v>7</v>
      </c>
      <c r="C3" s="5"/>
      <c r="D3" s="5"/>
      <c r="E3" s="2"/>
    </row>
    <row r="4" spans="2:5" x14ac:dyDescent="0.25">
      <c r="B4" t="s">
        <v>0</v>
      </c>
      <c r="C4" s="1">
        <v>48</v>
      </c>
      <c r="D4" t="s">
        <v>6</v>
      </c>
      <c r="E4" t="s">
        <v>8</v>
      </c>
    </row>
    <row r="5" spans="2:5" x14ac:dyDescent="0.25">
      <c r="B5" t="s">
        <v>1</v>
      </c>
      <c r="C5" s="1">
        <v>5.5</v>
      </c>
      <c r="D5" t="s">
        <v>6</v>
      </c>
      <c r="E5" t="s">
        <v>9</v>
      </c>
    </row>
    <row r="6" spans="2:5" x14ac:dyDescent="0.25">
      <c r="B6" t="s">
        <v>2</v>
      </c>
      <c r="C6" s="1">
        <v>2</v>
      </c>
      <c r="D6" t="s">
        <v>6</v>
      </c>
      <c r="E6" t="s">
        <v>10</v>
      </c>
    </row>
    <row r="7" spans="2:5" x14ac:dyDescent="0.25">
      <c r="B7" t="s">
        <v>3</v>
      </c>
      <c r="C7" s="1">
        <v>100</v>
      </c>
      <c r="D7" t="s">
        <v>5</v>
      </c>
      <c r="E7" t="s">
        <v>11</v>
      </c>
    </row>
    <row r="8" spans="2:5" x14ac:dyDescent="0.25">
      <c r="B8" t="s">
        <v>4</v>
      </c>
      <c r="C8" s="1">
        <v>100</v>
      </c>
      <c r="D8" t="s">
        <v>5</v>
      </c>
      <c r="E8" t="s">
        <v>12</v>
      </c>
    </row>
    <row r="10" spans="2:5" x14ac:dyDescent="0.25">
      <c r="B10" s="5" t="s">
        <v>18</v>
      </c>
      <c r="C10" s="5"/>
      <c r="D10" s="5"/>
    </row>
    <row r="11" spans="2:5" x14ac:dyDescent="0.25">
      <c r="B11" t="s">
        <v>14</v>
      </c>
      <c r="C11" s="1">
        <v>0</v>
      </c>
      <c r="D11" t="s">
        <v>13</v>
      </c>
      <c r="E11" t="s">
        <v>24</v>
      </c>
    </row>
    <row r="12" spans="2:5" x14ac:dyDescent="0.25">
      <c r="B12" t="s">
        <v>16</v>
      </c>
      <c r="C12" s="1">
        <v>45</v>
      </c>
      <c r="D12" t="s">
        <v>13</v>
      </c>
      <c r="E12" t="s">
        <v>23</v>
      </c>
    </row>
    <row r="13" spans="2:5" x14ac:dyDescent="0.25">
      <c r="B13" t="s">
        <v>17</v>
      </c>
      <c r="C13" s="1">
        <v>-20</v>
      </c>
      <c r="D13" t="s">
        <v>13</v>
      </c>
      <c r="E13" t="s">
        <v>22</v>
      </c>
    </row>
    <row r="14" spans="2:5" x14ac:dyDescent="0.25">
      <c r="B14" t="s">
        <v>15</v>
      </c>
      <c r="C14" s="1">
        <v>60</v>
      </c>
      <c r="D14" t="s">
        <v>13</v>
      </c>
      <c r="E14" t="s">
        <v>21</v>
      </c>
    </row>
    <row r="15" spans="2:5" x14ac:dyDescent="0.25">
      <c r="B15" t="s">
        <v>19</v>
      </c>
      <c r="C15" s="1">
        <v>25</v>
      </c>
      <c r="D15" t="s">
        <v>13</v>
      </c>
      <c r="E15" t="s">
        <v>20</v>
      </c>
    </row>
  </sheetData>
  <mergeCells count="2">
    <mergeCell ref="B3:D3"/>
    <mergeCell ref="B10:D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F044-498D-4DF0-BB59-4D0DA478289D}">
  <dimension ref="B2:I1048576"/>
  <sheetViews>
    <sheetView workbookViewId="0">
      <selection activeCell="B23" sqref="B23"/>
    </sheetView>
  </sheetViews>
  <sheetFormatPr defaultRowHeight="15" x14ac:dyDescent="0.25"/>
  <cols>
    <col min="2" max="2" width="14.140625" customWidth="1"/>
    <col min="3" max="3" width="13" customWidth="1"/>
    <col min="5" max="5" width="57.5703125" customWidth="1"/>
  </cols>
  <sheetData>
    <row r="2" spans="2:9" x14ac:dyDescent="0.25">
      <c r="B2" s="6" t="s">
        <v>29</v>
      </c>
      <c r="C2" s="6"/>
      <c r="D2" s="6"/>
    </row>
    <row r="3" spans="2:9" x14ac:dyDescent="0.25">
      <c r="B3" t="s">
        <v>31</v>
      </c>
      <c r="C3" s="1">
        <v>10</v>
      </c>
      <c r="D3" t="s">
        <v>30</v>
      </c>
      <c r="E3" t="s">
        <v>48</v>
      </c>
    </row>
    <row r="4" spans="2:9" x14ac:dyDescent="0.25">
      <c r="B4" t="s">
        <v>32</v>
      </c>
      <c r="C4" s="1">
        <v>1E-3</v>
      </c>
      <c r="E4" t="s">
        <v>47</v>
      </c>
    </row>
    <row r="5" spans="2:9" x14ac:dyDescent="0.25">
      <c r="B5" t="s">
        <v>54</v>
      </c>
      <c r="C5" s="1">
        <v>0.02</v>
      </c>
      <c r="D5" t="s">
        <v>6</v>
      </c>
      <c r="E5" t="s">
        <v>53</v>
      </c>
    </row>
    <row r="6" spans="2:9" x14ac:dyDescent="0.25">
      <c r="B6" t="s">
        <v>51</v>
      </c>
      <c r="C6" s="1">
        <v>0.9</v>
      </c>
      <c r="E6" t="s">
        <v>52</v>
      </c>
    </row>
    <row r="7" spans="2:9" x14ac:dyDescent="0.25">
      <c r="B7" t="s">
        <v>43</v>
      </c>
      <c r="C7" s="3">
        <f>MAX('Main Parameters'!C7:C8)</f>
        <v>100</v>
      </c>
      <c r="D7" t="s">
        <v>5</v>
      </c>
      <c r="E7" t="s">
        <v>44</v>
      </c>
    </row>
    <row r="9" spans="2:9" x14ac:dyDescent="0.25">
      <c r="B9" s="6" t="s">
        <v>25</v>
      </c>
      <c r="C9" s="6"/>
      <c r="D9" s="6"/>
    </row>
    <row r="10" spans="2:9" x14ac:dyDescent="0.25">
      <c r="B10" t="s">
        <v>26</v>
      </c>
      <c r="C10" s="4">
        <f>'Main Parameters'!C5/('Main Parameters'!C4*C6)</f>
        <v>0.1273148148148148</v>
      </c>
      <c r="D10" t="s">
        <v>28</v>
      </c>
      <c r="E10" t="s">
        <v>45</v>
      </c>
    </row>
    <row r="11" spans="2:9" x14ac:dyDescent="0.25">
      <c r="B11" t="s">
        <v>27</v>
      </c>
      <c r="C11" s="4">
        <f>1 - (('Main Parameters'!C6 * C6)/ 'Main Parameters'!C4)</f>
        <v>0.96250000000000002</v>
      </c>
      <c r="D11" t="s">
        <v>28</v>
      </c>
      <c r="E11" t="s">
        <v>46</v>
      </c>
    </row>
    <row r="14" spans="2:9" x14ac:dyDescent="0.25">
      <c r="B14" s="6" t="s">
        <v>70</v>
      </c>
      <c r="C14" s="6"/>
      <c r="D14" s="6"/>
      <c r="G14" s="6" t="s">
        <v>71</v>
      </c>
      <c r="H14" s="6"/>
      <c r="I14" s="6"/>
    </row>
    <row r="15" spans="2:9" x14ac:dyDescent="0.25">
      <c r="B15" t="s">
        <v>33</v>
      </c>
      <c r="C15" s="4">
        <f>C4*MAX('Main Parameters'!C7:C8)</f>
        <v>0.1</v>
      </c>
      <c r="D15" t="s">
        <v>68</v>
      </c>
      <c r="E15" t="s">
        <v>69</v>
      </c>
      <c r="G15" t="s">
        <v>73</v>
      </c>
      <c r="I15" t="s">
        <v>74</v>
      </c>
    </row>
    <row r="16" spans="2:9" x14ac:dyDescent="0.25">
      <c r="B16" t="s">
        <v>34</v>
      </c>
      <c r="C16" s="4">
        <f>(C10*('Main Parameters'!C4-'Main Parameters'!C5))/(C15*C3)*1000</f>
        <v>5410.8796296296287</v>
      </c>
      <c r="D16" t="s">
        <v>39</v>
      </c>
      <c r="E16" t="s">
        <v>36</v>
      </c>
      <c r="G16" t="s">
        <v>75</v>
      </c>
      <c r="I16" t="s">
        <v>76</v>
      </c>
    </row>
    <row r="17" spans="2:9" x14ac:dyDescent="0.25">
      <c r="B17" t="s">
        <v>35</v>
      </c>
      <c r="C17" s="4">
        <f>('Main Parameters'!C6*(C11))/(C15*C3)*1000</f>
        <v>1925</v>
      </c>
      <c r="D17" t="s">
        <v>39</v>
      </c>
      <c r="E17" t="s">
        <v>37</v>
      </c>
    </row>
    <row r="18" spans="2:9" x14ac:dyDescent="0.25">
      <c r="B18" t="s">
        <v>38</v>
      </c>
      <c r="C18" s="4">
        <f>MAX(C16:C17)</f>
        <v>5410.8796296296287</v>
      </c>
      <c r="D18" t="s">
        <v>39</v>
      </c>
      <c r="E18" t="s">
        <v>49</v>
      </c>
    </row>
    <row r="19" spans="2:9" x14ac:dyDescent="0.25">
      <c r="B19" t="s">
        <v>41</v>
      </c>
      <c r="C19" s="4">
        <f>C7+(C15/2)</f>
        <v>100.05</v>
      </c>
      <c r="D19" t="s">
        <v>5</v>
      </c>
      <c r="E19" t="s">
        <v>42</v>
      </c>
    </row>
    <row r="20" spans="2:9" x14ac:dyDescent="0.25">
      <c r="B20" t="s">
        <v>40</v>
      </c>
      <c r="C20" s="4">
        <f>C19*1.2</f>
        <v>120.05999999999999</v>
      </c>
      <c r="D20" t="s">
        <v>5</v>
      </c>
      <c r="E20" t="s">
        <v>50</v>
      </c>
    </row>
    <row r="22" spans="2:9" x14ac:dyDescent="0.25">
      <c r="B22" s="6" t="s">
        <v>90</v>
      </c>
      <c r="C22" s="6"/>
      <c r="D22" s="6"/>
      <c r="G22" s="6" t="s">
        <v>72</v>
      </c>
      <c r="H22" s="6"/>
      <c r="I22" s="6"/>
    </row>
    <row r="23" spans="2:9" x14ac:dyDescent="0.25">
      <c r="B23" t="s">
        <v>55</v>
      </c>
      <c r="C23" s="4">
        <f>C5/2</f>
        <v>0.01</v>
      </c>
      <c r="D23" t="s">
        <v>6</v>
      </c>
      <c r="E23" t="s">
        <v>58</v>
      </c>
    </row>
    <row r="24" spans="2:9" x14ac:dyDescent="0.25">
      <c r="B24" t="s">
        <v>56</v>
      </c>
      <c r="C24" s="4">
        <f>C5/2</f>
        <v>0.01</v>
      </c>
      <c r="D24" t="s">
        <v>6</v>
      </c>
      <c r="E24" t="s">
        <v>57</v>
      </c>
    </row>
    <row r="25" spans="2:9" x14ac:dyDescent="0.25">
      <c r="B25" t="s">
        <v>60</v>
      </c>
      <c r="C25" s="4">
        <f>(C15/(8*C3*1000*C24))*1000</f>
        <v>0.125</v>
      </c>
      <c r="D25" t="s">
        <v>64</v>
      </c>
      <c r="E25" t="s">
        <v>62</v>
      </c>
    </row>
    <row r="26" spans="2:9" x14ac:dyDescent="0.25">
      <c r="B26" t="s">
        <v>61</v>
      </c>
      <c r="C26" s="4">
        <f>(C15*(C18/1000))/(C24*2*'Main Parameters'!C5)</f>
        <v>4.918981481481481</v>
      </c>
      <c r="D26" t="s">
        <v>64</v>
      </c>
      <c r="E26" t="s">
        <v>63</v>
      </c>
    </row>
    <row r="27" spans="2:9" x14ac:dyDescent="0.25">
      <c r="B27" t="s">
        <v>65</v>
      </c>
      <c r="C27" s="4">
        <f>C23/C15</f>
        <v>9.9999999999999992E-2</v>
      </c>
      <c r="D27" t="s">
        <v>66</v>
      </c>
      <c r="E27" t="s">
        <v>67</v>
      </c>
    </row>
    <row r="1048576" spans="5:5" x14ac:dyDescent="0.25">
      <c r="E1048576" t="s">
        <v>59</v>
      </c>
    </row>
  </sheetData>
  <mergeCells count="6">
    <mergeCell ref="B9:D9"/>
    <mergeCell ref="B2:D2"/>
    <mergeCell ref="B14:D14"/>
    <mergeCell ref="B22:D22"/>
    <mergeCell ref="G14:I14"/>
    <mergeCell ref="G22:I22"/>
  </mergeCells>
  <pageMargins left="0.7" right="0.7" top="0.75" bottom="0.75" header="0.3" footer="0.3"/>
  <pageSetup paperSize="9" orientation="portrait" r:id="rId1"/>
  <ignoredErrors>
    <ignoredError sqref="C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C656-873A-45DB-B0D4-0A21AB68E9AE}">
  <dimension ref="B2:E14"/>
  <sheetViews>
    <sheetView tabSelected="1" workbookViewId="0">
      <selection activeCell="D15" sqref="D15"/>
    </sheetView>
  </sheetViews>
  <sheetFormatPr defaultRowHeight="15" x14ac:dyDescent="0.25"/>
  <cols>
    <col min="2" max="2" width="10.7109375" bestFit="1" customWidth="1"/>
    <col min="3" max="3" width="12" bestFit="1" customWidth="1"/>
    <col min="5" max="5" width="28.28515625" customWidth="1"/>
  </cols>
  <sheetData>
    <row r="2" spans="2:5" x14ac:dyDescent="0.25">
      <c r="B2" s="6" t="s">
        <v>29</v>
      </c>
      <c r="C2" s="6"/>
      <c r="D2" s="6"/>
    </row>
    <row r="3" spans="2:5" x14ac:dyDescent="0.25">
      <c r="B3" t="s">
        <v>98</v>
      </c>
      <c r="C3" s="3">
        <v>10</v>
      </c>
      <c r="D3" t="s">
        <v>94</v>
      </c>
      <c r="E3" t="s">
        <v>97</v>
      </c>
    </row>
    <row r="4" spans="2:5" x14ac:dyDescent="0.25">
      <c r="B4" t="s">
        <v>95</v>
      </c>
      <c r="C4" s="3">
        <v>2</v>
      </c>
      <c r="D4" t="s">
        <v>6</v>
      </c>
      <c r="E4" t="s">
        <v>96</v>
      </c>
    </row>
    <row r="5" spans="2:5" x14ac:dyDescent="0.25">
      <c r="B5" t="s">
        <v>77</v>
      </c>
      <c r="C5" s="3">
        <f>'Main Parameters'!C5</f>
        <v>5.5</v>
      </c>
      <c r="D5" t="s">
        <v>6</v>
      </c>
      <c r="E5" t="s">
        <v>78</v>
      </c>
    </row>
    <row r="6" spans="2:5" x14ac:dyDescent="0.25">
      <c r="B6" t="s">
        <v>79</v>
      </c>
      <c r="C6" s="3">
        <f>'Main Parameters'!C4</f>
        <v>48</v>
      </c>
      <c r="D6" t="s">
        <v>6</v>
      </c>
      <c r="E6" t="s">
        <v>80</v>
      </c>
    </row>
    <row r="7" spans="2:5" x14ac:dyDescent="0.25">
      <c r="B7" t="s">
        <v>43</v>
      </c>
      <c r="C7" s="3">
        <f>MAX('Main Parameters'!C4:C8)</f>
        <v>100</v>
      </c>
      <c r="D7" t="s">
        <v>5</v>
      </c>
      <c r="E7" t="s">
        <v>44</v>
      </c>
    </row>
    <row r="9" spans="2:5" x14ac:dyDescent="0.25">
      <c r="B9" s="6" t="s">
        <v>81</v>
      </c>
      <c r="C9" s="6"/>
      <c r="D9" s="6"/>
    </row>
    <row r="10" spans="2:5" x14ac:dyDescent="0.25">
      <c r="B10" t="s">
        <v>82</v>
      </c>
      <c r="C10" s="3">
        <f>C5*C7</f>
        <v>550</v>
      </c>
      <c r="D10" t="s">
        <v>85</v>
      </c>
      <c r="E10" t="s">
        <v>86</v>
      </c>
    </row>
    <row r="11" spans="2:5" x14ac:dyDescent="0.25">
      <c r="B11" t="s">
        <v>83</v>
      </c>
      <c r="C11" s="3">
        <f>C10</f>
        <v>550</v>
      </c>
      <c r="D11" t="s">
        <v>85</v>
      </c>
      <c r="E11" t="s">
        <v>87</v>
      </c>
    </row>
    <row r="12" spans="2:5" x14ac:dyDescent="0.25">
      <c r="B12" t="s">
        <v>84</v>
      </c>
      <c r="C12" s="3">
        <f>C11/C6</f>
        <v>11.458333333333334</v>
      </c>
      <c r="D12" t="s">
        <v>5</v>
      </c>
      <c r="E12" t="s">
        <v>88</v>
      </c>
    </row>
    <row r="13" spans="2:5" x14ac:dyDescent="0.25">
      <c r="B13" t="s">
        <v>89</v>
      </c>
      <c r="C13" s="3">
        <f>(C6*C6)/C11</f>
        <v>4.1890909090909094</v>
      </c>
      <c r="D13" t="s">
        <v>66</v>
      </c>
      <c r="E13" t="s">
        <v>91</v>
      </c>
    </row>
    <row r="14" spans="2:5" x14ac:dyDescent="0.25">
      <c r="B14" t="s">
        <v>93</v>
      </c>
      <c r="C14" s="3">
        <f>(((C3/1000)*C12)/C4)*1000</f>
        <v>57.291666666666671</v>
      </c>
      <c r="D14" t="s">
        <v>99</v>
      </c>
      <c r="E14" t="s">
        <v>92</v>
      </c>
    </row>
  </sheetData>
  <mergeCells count="2">
    <mergeCell ref="B2:D2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Main Parameters</vt:lpstr>
      <vt:lpstr>Converter Design</vt:lpstr>
      <vt:lpstr>Discharge Load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Miguel Ferra dos Santos Pica</dc:creator>
  <cp:lastModifiedBy>Diogo Miguel Ferra dos Santos Pica</cp:lastModifiedBy>
  <dcterms:created xsi:type="dcterms:W3CDTF">2025-10-15T18:26:03Z</dcterms:created>
  <dcterms:modified xsi:type="dcterms:W3CDTF">2025-12-06T21:25:34Z</dcterms:modified>
</cp:coreProperties>
</file>